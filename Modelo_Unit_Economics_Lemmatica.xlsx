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CostoConsulta" sheetId="2" state="visible" r:id="rId4"/>
    <sheet name="CostoMedicoMes" sheetId="3" state="visible" r:id="rId5"/>
    <sheet name="PreciosMargen" sheetId="4" state="visible" r:id="rId6"/>
    <sheet name="PuntoEquilibrio" sheetId="5" state="visible" r:id="rId7"/>
    <sheet name="CAC_LTV" sheetId="6" state="visible" r:id="rId8"/>
    <sheet name="Mercado" sheetId="7" state="visible" r:id="rId9"/>
    <sheet name="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<sst xmlns="http://schemas.openxmlformats.org/spreadsheetml/2006/main" count="284" uniqueCount="220">
  <si>
    <t xml:space="preserve">Supuestos y fuentes — Lemmatica (SaaS de documentación clínica)</t>
  </si>
  <si>
    <t xml:space="preserve">Verificado = confirmado hoy contra la fuente citada. Supuesto = estimación/palanca editable — ajústala a tu realidad.</t>
  </si>
  <si>
    <t xml:space="preserve">Parámetro</t>
  </si>
  <si>
    <t xml:space="preserve">Valor</t>
  </si>
  <si>
    <t xml:space="preserve">Unidad</t>
  </si>
  <si>
    <t xml:space="preserve">Tipo</t>
  </si>
  <si>
    <t xml:space="preserve">Fuente</t>
  </si>
  <si>
    <t xml:space="preserve">Gemini 2.5 Pro — input (prompt ≤200k tokens)</t>
  </si>
  <si>
    <t xml:space="preserve">$/1M tokens</t>
  </si>
  <si>
    <t xml:space="preserve">Verificado</t>
  </si>
  <si>
    <t xml:space="preserve">ai.google.dev/gemini-api/docs/pricing (20-ago-2026)</t>
  </si>
  <si>
    <t xml:space="preserve">Gemini 2.5 Pro — output (prompt ≤200k tokens)</t>
  </si>
  <si>
    <t xml:space="preserve">Gemini 2.5 Flash — input texto</t>
  </si>
  <si>
    <t xml:space="preserve">Gemini 2.5 Flash — output</t>
  </si>
  <si>
    <t xml:space="preserve">Gemini 2.5 Flash — input audio</t>
  </si>
  <si>
    <t xml:space="preserve">Tasa de tokenización de audio (confirmada en Flash; NO listada por separado para 2.5 Pro — VERIFICAR antes de cotizar)</t>
  </si>
  <si>
    <t xml:space="preserve">tokens/segundo</t>
  </si>
  <si>
    <t xml:space="preserve">Verificado (Flash) / asumido en Pro</t>
  </si>
  <si>
    <t xml:space="preserve">AssemblyAI Universal-2 (STT, 99 idiomas incl. español)</t>
  </si>
  <si>
    <t xml:space="preserve">$/hora audio</t>
  </si>
  <si>
    <t xml:space="preserve">assemblyai.com/pricing (20-ago-2026)</t>
  </si>
  <si>
    <t xml:space="preserve">Deepgram Nova-3 Multilingüe (STT streaming)</t>
  </si>
  <si>
    <t xml:space="preserve">$/minuto audio</t>
  </si>
  <si>
    <t xml:space="preserve">Verificado — confirmar cobertura es-MX explícita</t>
  </si>
  <si>
    <t xml:space="preserve">deepgram.com/pricing (20-ago-2026)</t>
  </si>
  <si>
    <t xml:space="preserve">Duración promedio de consulta</t>
  </si>
  <si>
    <t xml:space="preserve">minutos</t>
  </si>
  <si>
    <t xml:space="preserve">Supuesto (palanca)</t>
  </si>
  <si>
    <t xml:space="preserve">Estimación de negocio — ajustar con datos reales</t>
  </si>
  <si>
    <t xml:space="preserve">Palabras por minuto de habla clínica es-MX</t>
  </si>
  <si>
    <t xml:space="preserve">palabras/min</t>
  </si>
  <si>
    <t xml:space="preserve">Estimación de habla conversacional — ajustar</t>
  </si>
  <si>
    <t xml:space="preserve">Tokens por palabra en español (aprox.)</t>
  </si>
  <si>
    <t xml:space="preserve">tokens/palabra</t>
  </si>
  <si>
    <t xml:space="preserve">Supuesto</t>
  </si>
  <si>
    <t xml:space="preserve">Regla general de tokenizadores en español</t>
  </si>
  <si>
    <t xml:space="preserve">Tokens de salida por consulta (SOAP + tratamientos + indicaciones)</t>
  </si>
  <si>
    <t xml:space="preserve">tokens</t>
  </si>
  <si>
    <t xml:space="preserve">Estimado del prompt en aiTranscriptionService.js</t>
  </si>
  <si>
    <t xml:space="preserve">Bitrate de audio comprimido (codec de voz, ej. Opus)</t>
  </si>
  <si>
    <t xml:space="preserve">kbps</t>
  </si>
  <si>
    <t xml:space="preserve">Códec típico para voz</t>
  </si>
  <si>
    <t xml:space="preserve">Cloudflare R2 — almacenamiento estándar</t>
  </si>
  <si>
    <t xml:space="preserve">$/GB-mes</t>
  </si>
  <si>
    <t xml:space="preserve">developers.cloudflare.com/r2/pricing (20-ago-2026)</t>
  </si>
  <si>
    <t xml:space="preserve">Cloudflare R2 — egreso directo</t>
  </si>
  <si>
    <t xml:space="preserve">$/GB (gratuito)</t>
  </si>
  <si>
    <t xml:space="preserve">Retención regulatoria de expediente clínico (referencia)</t>
  </si>
  <si>
    <t xml:space="preserve">años</t>
  </si>
  <si>
    <t xml:space="preserve">Supuesto — VERIFICAR NOM-004</t>
  </si>
  <si>
    <t xml:space="preserve">No verificado en vivo hoy</t>
  </si>
  <si>
    <t xml:space="preserve">Render — plan Standard (backend)</t>
  </si>
  <si>
    <t xml:space="preserve">$/mes</t>
  </si>
  <si>
    <t xml:space="preserve">render.com/pricing (20-ago-2026)</t>
  </si>
  <si>
    <t xml:space="preserve">Supabase — plan Pro (base de datos)</t>
  </si>
  <si>
    <t xml:space="preserve">supabase.com/pricing (20-ago-2026)</t>
  </si>
  <si>
    <t xml:space="preserve">Vercel — plan Pro (frontend, opcional)</t>
  </si>
  <si>
    <t xml:space="preserve">vercel.com/pricing (20-ago-2026)</t>
  </si>
  <si>
    <t xml:space="preserve">Buffer operativo (dominio, monitoreo, correo, respaldos)</t>
  </si>
  <si>
    <t xml:space="preserve">Estimación conservadora</t>
  </si>
  <si>
    <t xml:space="preserve">Tipo de cambio de referencia</t>
  </si>
  <si>
    <t xml:space="preserve">MXN por USD</t>
  </si>
  <si>
    <t xml:space="preserve">Supuesto — VERIFICAR al usar</t>
  </si>
  <si>
    <t xml:space="preserve">Referencia aproximada, no verificada en vivo hoy</t>
  </si>
  <si>
    <t xml:space="preserve">Noa Notes (add-on IA de Doctoralia, México)</t>
  </si>
  <si>
    <t xml:space="preserve">MXN+IVA/mes</t>
  </si>
  <si>
    <t xml:space="preserve">pro.doctoralia.com.mx/precios (20-ago-2026)</t>
  </si>
  <si>
    <t xml:space="preserve">Doctoralia Plus (paquete completo con Noa Booking)</t>
  </si>
  <si>
    <t xml:space="preserve">Freed.ai — plan Starter (comparable EE.UU.)</t>
  </si>
  <si>
    <t xml:space="preserve">USD/mes</t>
  </si>
  <si>
    <t xml:space="preserve">getfreed.ai/pricing (20-ago-2026)</t>
  </si>
  <si>
    <t xml:space="preserve">Freed.ai — plan Core (notas ilimitadas)</t>
  </si>
  <si>
    <t xml:space="preserve">IVA México</t>
  </si>
  <si>
    <t xml:space="preserve">fracción</t>
  </si>
  <si>
    <t xml:space="preserve">Supuesto (conocido)</t>
  </si>
  <si>
    <t xml:space="preserve">Ley del IVA</t>
  </si>
  <si>
    <t xml:space="preserve">Costo de IA por consulta — 3 escenarios de arquitectura</t>
  </si>
  <si>
    <t xml:space="preserve">Todas las celdas de esta hoja son fórmulas que jalan de 'Supuestos'. Cambia los supuestos ahí, no aquí.</t>
  </si>
  <si>
    <t xml:space="preserve">Escenario</t>
  </si>
  <si>
    <t xml:space="preserve">Minutos</t>
  </si>
  <si>
    <t xml:space="preserve">Costo STT ($)</t>
  </si>
  <si>
    <t xml:space="preserve">Tokens entrada</t>
  </si>
  <si>
    <t xml:space="preserve">Costo entrada LLM ($)</t>
  </si>
  <si>
    <t xml:space="preserve">Tokens salida</t>
  </si>
  <si>
    <t xml:space="preserve">Costo salida LLM ($)</t>
  </si>
  <si>
    <t xml:space="preserve">Costo total/consulta ($)</t>
  </si>
  <si>
    <t xml:space="preserve">Nota</t>
  </si>
  <si>
    <t xml:space="preserve">Actual: Web Speech API (navegador) + Gemini texto</t>
  </si>
  <si>
    <t xml:space="preserve">0</t>
  </si>
  <si>
    <t xml:space="preserve">Riesgo LEGAL, no económico: el audio se envía a los servidores de Google vía el navegador, fuera de cualquier contrato de datos. Ver informe técnico.</t>
  </si>
  <si>
    <t xml:space="preserve">Recomendado: STT dedicado (AssemblyAI) + Gemini texto</t>
  </si>
  <si>
    <t xml:space="preserve">STT con proveedor bajo contrato + Gemini solo para estructurar texto. Costo total más alto que el actual pero con cobertura legal.</t>
  </si>
  <si>
    <t xml:space="preserve">Multimodal nativo: audio directo a Gemini 2.5 Pro (sin STT aparte)</t>
  </si>
  <si>
    <t xml:space="preserve">Asume que Gemini 2.5 Pro factura audio a la tarifa de texto de entrada (no confirmado en la página de precios para este modelo específico) — VERIFICAR antes de usar para cotizar.</t>
  </si>
  <si>
    <t xml:space="preserve">El resto del modelo usa el escenario 'Recomendado' (fila 6) como costo variable de IA por consulta.</t>
  </si>
  <si>
    <t xml:space="preserve">Costo por médico al mes, por nivel de uso</t>
  </si>
  <si>
    <t xml:space="preserve">Doctores activos usados para prorratear el hosting fijo (ajusta esta palanca):</t>
  </si>
  <si>
    <t xml:space="preserve">Nivel de uso</t>
  </si>
  <si>
    <t xml:space="preserve">Consultas/mes</t>
  </si>
  <si>
    <t xml:space="preserve">MB audio/consulta</t>
  </si>
  <si>
    <t xml:space="preserve">GB audio/mes</t>
  </si>
  <si>
    <t xml:space="preserve">Costo almacenamiento ($)</t>
  </si>
  <si>
    <t xml:space="preserve">Costo variable IA ($)</t>
  </si>
  <si>
    <t xml:space="preserve">Hosting fijo total ($)</t>
  </si>
  <si>
    <t xml:space="preserve">Hosting amortizado/médico ($)</t>
  </si>
  <si>
    <t xml:space="preserve">COGS total/médico/mes ($)</t>
  </si>
  <si>
    <t xml:space="preserve">Ligero</t>
  </si>
  <si>
    <t xml:space="preserve">Medio</t>
  </si>
  <si>
    <t xml:space="preserve">Intensivo</t>
  </si>
  <si>
    <t xml:space="preserve">Nota: incluso en uso intensivo, el almacenamiento de audio comprimido en R2 cuesta centavos. El problema del audio en base64 dentro de Postgres (ver informe técnico) es de arquitectura/rendimiento, no de costo por GB.</t>
  </si>
  <si>
    <t xml:space="preserve">Planes de precio propuestos vs. margen bruto</t>
  </si>
  <si>
    <t xml:space="preserve">Plan</t>
  </si>
  <si>
    <t xml:space="preserve">Precio (USD/mes)</t>
  </si>
  <si>
    <t xml:space="preserve">Precio aprox. (MXN+IVA/mes)</t>
  </si>
  <si>
    <t xml:space="preserve">Uso asumido</t>
  </si>
  <si>
    <t xml:space="preserve">COGS asociado ($)</t>
  </si>
  <si>
    <t xml:space="preserve">Margen bruto ($)</t>
  </si>
  <si>
    <t xml:space="preserve">Margen bruto (%)</t>
  </si>
  <si>
    <t xml:space="preserve">Starter (individual)</t>
  </si>
  <si>
    <t xml:space="preserve">Ancla frente a Noa Notes (~$550 MXN+IVA ≈ $30 USD/mes) — mismo rango de precio, más funciones (expediente, agenda).</t>
  </si>
  <si>
    <t xml:space="preserve">Pro (individual, uso alto)</t>
  </si>
  <si>
    <t xml:space="preserve">Entre Noa Notes y el paquete completo de Doctoralia; por debajo de Freed.ai Core ($79 USD).</t>
  </si>
  <si>
    <t xml:space="preserve">Clínica (con asistente)</t>
  </si>
  <si>
    <t xml:space="preserve">Para consultorios con 1+ asistente; compite con el paquete Plus de Doctoralia ($2,340 MXN+IVA) pero sin marketplace de pacientes.</t>
  </si>
  <si>
    <t xml:space="preserve">El margen bruto real depende de cuánto uso realmente hace cada médico dentro de su plan — estos supuestos son un punto de partida, no una promesa.</t>
  </si>
  <si>
    <t xml:space="preserve">Punto de equilibrio — médicos pagantes necesarios</t>
  </si>
  <si>
    <t xml:space="preserve">Costos fijos operativos adicionales (soporte, ventas, nómina — NO infraestructura, esa ya está en 'Supuestos'):</t>
  </si>
  <si>
    <t xml:space="preserve">$/mes — AJUSTA a tu estructura real</t>
  </si>
  <si>
    <t xml:space="preserve">Precio ($)</t>
  </si>
  <si>
    <t xml:space="preserve">COGS/médico ($)</t>
  </si>
  <si>
    <t xml:space="preserve">Margen de contribución ($)</t>
  </si>
  <si>
    <t xml:space="preserve">Costos fijos totales ($)</t>
  </si>
  <si>
    <t xml:space="preserve">Médicos necesarios (breakeven)</t>
  </si>
  <si>
    <t xml:space="preserve">Con costos fijos en $0 (solo infraestructura), 3-5 médicos pagantes en cualquier plan cubren el hosting. Todo lo que venga después es margen de contribución hacia adquisición, soporte y equipo.</t>
  </si>
  <si>
    <t xml:space="preserve">CAC / LTV — estimación inicial (plan Pro como referencia)</t>
  </si>
  <si>
    <t xml:space="preserve">Fuente / nota</t>
  </si>
  <si>
    <t xml:space="preserve">ARPU mensual ($)</t>
  </si>
  <si>
    <t xml:space="preserve">Precio del plan Pro</t>
  </si>
  <si>
    <t xml:space="preserve">Del plan Pro</t>
  </si>
  <si>
    <t xml:space="preserve">Churn mensual asumido</t>
  </si>
  <si>
    <t xml:space="preserve">Referencia genérica de SaaS SMB — NO verificado para este mercado. AJUSTAR con datos reales en cuanto existan.</t>
  </si>
  <si>
    <t xml:space="preserve">Vida promedio del cliente (meses)</t>
  </si>
  <si>
    <t xml:space="preserve">Fórmula: 1 / churn mensual</t>
  </si>
  <si>
    <t xml:space="preserve">LTV ($)</t>
  </si>
  <si>
    <t xml:space="preserve">Fórmula: ARPU × margen bruto / churn</t>
  </si>
  <si>
    <t xml:space="preserve">CAC asumido ($)</t>
  </si>
  <si>
    <t xml:space="preserve">Estimación inicial, sin datos de adquisición reales aún. AJUSTAR en cuanto corras tus primeras campañas/ventas.</t>
  </si>
  <si>
    <t xml:space="preserve">Relación LTV:CAC</t>
  </si>
  <si>
    <t xml:space="preserve">Regla general SaaS: sano si es ≥ 3</t>
  </si>
  <si>
    <t xml:space="preserve">Periodo de recuperación de CAC (meses)</t>
  </si>
  <si>
    <t xml:space="preserve">Fórmula: CAC / (ARPU × margen bruto)</t>
  </si>
  <si>
    <t xml:space="preserve">Estos dos supuestos (churn y CAC) son los que más mueven la conclusión y los que menos evidencia real tienen hoy. Prioriza medirlos apenas tengas tus primeros 10-20 clientes.</t>
  </si>
  <si>
    <t xml:space="preserve">Tamaño de mercado — TAM / SAM / SOM (México)</t>
  </si>
  <si>
    <t xml:space="preserve">AVISO: las cifras de este bloque NO se verificaron en vivo — la búsqueda web falló durante toda esta sesión. Son referencias de memoria + supuestos de trabajo. Confirma densidad de médicos y población con INEGI/OCDE (oecd.org/health) y cifras de médicos activos con fuentes públicas de Doctoralia antes de usar esto en un pitch o plan formal.</t>
  </si>
  <si>
    <t xml:space="preserve">Concepto</t>
  </si>
  <si>
    <t xml:space="preserve">Densidad de médicos en México (referencia histórica OCDE)</t>
  </si>
  <si>
    <t xml:space="preserve">médicos por 1,000 hab.</t>
  </si>
  <si>
    <t xml:space="preserve">NO VERIFICADO HOY — confirmar en oecd.org/health antes de usar</t>
  </si>
  <si>
    <t xml:space="preserve">Población de México (referencia)</t>
  </si>
  <si>
    <t xml:space="preserve">millones</t>
  </si>
  <si>
    <t xml:space="preserve">NO VERIFICADO HOY — confirmar con INEGI/Banco Mundial</t>
  </si>
  <si>
    <t xml:space="preserve">Médicos en ejercicio, estimado</t>
  </si>
  <si>
    <t xml:space="preserve">médicos</t>
  </si>
  <si>
    <t xml:space="preserve">Fórmula: densidad × población × 1,000</t>
  </si>
  <si>
    <t xml:space="preserve">% con consultorio propio / práctica privada (incl. quienes combinan con sector público)</t>
  </si>
  <si>
    <t xml:space="preserve">Supuesto de trabajo — NO VERIFICADO</t>
  </si>
  <si>
    <t xml:space="preserve">TAM — médicos independientes con consultorio (estimado)</t>
  </si>
  <si>
    <t xml:space="preserve">Fórmula: médicos en ejercicio × % con consultorio propio</t>
  </si>
  <si>
    <t xml:space="preserve">% SAM (especialidades tipo consulta 1:1, cómodas con software, con internet)</t>
  </si>
  <si>
    <t xml:space="preserve">Supuesto de trabajo — ajustar</t>
  </si>
  <si>
    <t xml:space="preserve">SAM estimado</t>
  </si>
  <si>
    <t xml:space="preserve">Fórmula: TAM × % SAM</t>
  </si>
  <si>
    <t xml:space="preserve">% SOM objetivo a 24-36 meses (penetración realista, etapa temprana)</t>
  </si>
  <si>
    <t xml:space="preserve">Supuesto de trabajo — ajustar según capacidad de ventas</t>
  </si>
  <si>
    <t xml:space="preserve">SOM estimado (médicos pagantes)</t>
  </si>
  <si>
    <t xml:space="preserve">Fórmula: SAM × % SOM</t>
  </si>
  <si>
    <t xml:space="preserve">ARR potencial en SOM (usando ARPU del plan Pro)</t>
  </si>
  <si>
    <t xml:space="preserve">$/año</t>
  </si>
  <si>
    <t xml:space="preserve">Fórmula: SOM × precio Pro × 12 — puramente ilustrativo</t>
  </si>
  <si>
    <t xml:space="preserve">Trata estos números como un orden de magnitud para conversación interna, no como un dato para un inversionista hasta que verifiques la fuente.</t>
  </si>
  <si>
    <t xml:space="preserve">Fuentes consultadas (20 de agosto, 2026)</t>
  </si>
  <si>
    <t xml:space="preserve">Fecha</t>
  </si>
  <si>
    <t xml:space="preserve">URL</t>
  </si>
  <si>
    <t xml:space="preserve">Dato obtenido</t>
  </si>
  <si>
    <t xml:space="preserve">2026-08-20</t>
  </si>
  <si>
    <t xml:space="preserve">Google AI for Developers</t>
  </si>
  <si>
    <t xml:space="preserve">https://ai.google.dev/gemini-api/docs/pricing</t>
  </si>
  <si>
    <t xml:space="preserve">Precios Gemini 2.5 Pro / 2.5 Flash, tokenización de audio (25 tok/seg en Flash)</t>
  </si>
  <si>
    <t xml:space="preserve">Supabase</t>
  </si>
  <si>
    <t xml:space="preserve">https://supabase.com/pricing</t>
  </si>
  <si>
    <t xml:space="preserve">Planes Free / Pro / Team, límites de base de datos y bandwidth</t>
  </si>
  <si>
    <t xml:space="preserve">Cloudflare</t>
  </si>
  <si>
    <t xml:space="preserve">https://developers.cloudflare.com/r2/pricing/</t>
  </si>
  <si>
    <t xml:space="preserve">R2: storage $0.015/GB-mes, egreso directo gratuito</t>
  </si>
  <si>
    <t xml:space="preserve">Railway</t>
  </si>
  <si>
    <t xml:space="preserve">https://railway.com/pricing</t>
  </si>
  <si>
    <t xml:space="preserve">Planes Hobby ($5) / Pro ($20), precio por vCPU/RAM</t>
  </si>
  <si>
    <t xml:space="preserve">Render</t>
  </si>
  <si>
    <t xml:space="preserve">https://render.com/pricing</t>
  </si>
  <si>
    <t xml:space="preserve">Starter ($7) / Standard ($25) para backend Node.js</t>
  </si>
  <si>
    <t xml:space="preserve">Vercel</t>
  </si>
  <si>
    <t xml:space="preserve">https://vercel.com/pricing</t>
  </si>
  <si>
    <t xml:space="preserve">Hobby (gratis) / Pro ($20) para frontend</t>
  </si>
  <si>
    <t xml:space="preserve">AssemblyAI</t>
  </si>
  <si>
    <t xml:space="preserve">https://www.assemblyai.com/pricing</t>
  </si>
  <si>
    <t xml:space="preserve">STT Universal-2 $0.15/hora (99 idiomas, incl. español)</t>
  </si>
  <si>
    <t xml:space="preserve">Deepgram</t>
  </si>
  <si>
    <t xml:space="preserve">https://deepgram.com/pricing</t>
  </si>
  <si>
    <t xml:space="preserve">STT Nova-3 Multilingüe $0.0058/min (streaming)</t>
  </si>
  <si>
    <t xml:space="preserve">OpenAI</t>
  </si>
  <si>
    <t xml:space="preserve">https://openai.com/api/pricing/</t>
  </si>
  <si>
    <t xml:space="preserve">Modelos GPT-5.6, GPT-Live-Transcribe $0.017/min</t>
  </si>
  <si>
    <t xml:space="preserve">Doctoralia PRO México</t>
  </si>
  <si>
    <t xml:space="preserve">https://pro.doctoralia.com.mx/precios/medicos-y-especialistas</t>
  </si>
  <si>
    <t xml:space="preserve">Planes Starter/Plus/VIP ($1,740-$2,970 MXN+IVA) y Noa Notes add-on ($550 MXN+IVA)</t>
  </si>
  <si>
    <t xml:space="preserve">Freed.ai</t>
  </si>
  <si>
    <t xml:space="preserve">https://www.getfreed.ai/pricing</t>
  </si>
  <si>
    <t xml:space="preserve">Planes Starter ($39) / Core ($79) / Premier ($104-119 USD)</t>
  </si>
  <si>
    <t xml:space="preserve">Heidi Health, Nabla y Suki no mostraron precios públicos verificables hoy (páginas dinámicas sin tabla de precios, o 404). Suki es venta enterprise ('contact us').</t>
  </si>
  <si>
    <t xml:space="preserve">La herramienta de búsqueda web (WebSearch) rechazó todas las solicitudes durante esta sesión (error de proxy). El número de médicos en México, la población y el tipo de cambio NO pudieron verificarse en vivo — quedan marcados como 'NO VERIFICADO' en las hojas 'Supuestos' y 'Mercado'.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</si>
</sst>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\$#,##0.0000"/>
    <numFmt numFmtId="167" formatCode="0.00"/>
    <numFmt numFmtId="168" formatCode="0.0000"/>
    <numFmt numFmtId="169" formatCode="\$#,##0.00"/>
    <numFmt numFmtId="170" formatCode="\$#,##0"/>
    <numFmt numFmtId="171" formatCode="0.0%"/>
    <numFmt numFmtId="172" formatCode="0.0"/>
    <numFmt numFmtId="173" formatCode="0.0\x"/>
    <numFmt numFmtId="174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7A5B00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7.75" hidden="false" customHeight="true" outlineLevel="0" collapsed="false">
      <c r="A5" s="4" t="s">
        <v>7</v>
      </c>
      <c r="B5" s="5" t="n">
        <v>1.25</v>
      </c>
      <c r="C5" s="4" t="s">
        <v>8</v>
      </c>
      <c r="D5" s="4" t="s">
        <v>9</v>
      </c>
      <c r="E5" s="6" t="s">
        <v>10</v>
      </c>
    </row>
    <row r="6" customFormat="false" ht="27.75" hidden="false" customHeight="true" outlineLevel="0" collapsed="false">
      <c r="A6" s="4" t="s">
        <v>11</v>
      </c>
      <c r="B6" s="5" t="n">
        <v>10</v>
      </c>
      <c r="C6" s="4" t="s">
        <v>8</v>
      </c>
      <c r="D6" s="4" t="s">
        <v>9</v>
      </c>
      <c r="E6" s="6" t="s">
        <v>10</v>
      </c>
    </row>
    <row r="7" customFormat="false" ht="27.75" hidden="false" customHeight="true" outlineLevel="0" collapsed="false">
      <c r="A7" s="4" t="s">
        <v>12</v>
      </c>
      <c r="B7" s="5" t="n">
        <v>0.3</v>
      </c>
      <c r="C7" s="4" t="s">
        <v>8</v>
      </c>
      <c r="D7" s="4" t="s">
        <v>9</v>
      </c>
      <c r="E7" s="6" t="s">
        <v>10</v>
      </c>
    </row>
    <row r="8" customFormat="false" ht="27.75" hidden="false" customHeight="true" outlineLevel="0" collapsed="false">
      <c r="A8" s="4" t="s">
        <v>13</v>
      </c>
      <c r="B8" s="5" t="n">
        <v>2.5</v>
      </c>
      <c r="C8" s="4" t="s">
        <v>8</v>
      </c>
      <c r="D8" s="4" t="s">
        <v>9</v>
      </c>
      <c r="E8" s="6" t="s">
        <v>10</v>
      </c>
    </row>
    <row r="9" customFormat="false" ht="27.75" hidden="false" customHeight="true" outlineLevel="0" collapsed="false">
      <c r="A9" s="4" t="s">
        <v>14</v>
      </c>
      <c r="B9" s="5" t="n">
        <v>1</v>
      </c>
      <c r="C9" s="4" t="s">
        <v>8</v>
      </c>
      <c r="D9" s="4" t="s">
        <v>9</v>
      </c>
      <c r="E9" s="6" t="s">
        <v>10</v>
      </c>
    </row>
    <row r="10" customFormat="false" ht="27.75" hidden="false" customHeight="true" outlineLevel="0" collapsed="false">
      <c r="A10" s="4" t="s">
        <v>15</v>
      </c>
      <c r="B10" s="5" t="n">
        <v>25</v>
      </c>
      <c r="C10" s="4" t="s">
        <v>16</v>
      </c>
      <c r="D10" s="4" t="s">
        <v>17</v>
      </c>
      <c r="E10" s="6" t="s">
        <v>10</v>
      </c>
    </row>
    <row r="11" customFormat="false" ht="27.75" hidden="false" customHeight="true" outlineLevel="0" collapsed="false">
      <c r="A11" s="4" t="s">
        <v>18</v>
      </c>
      <c r="B11" s="5" t="n">
        <v>0.15</v>
      </c>
      <c r="C11" s="4" t="s">
        <v>19</v>
      </c>
      <c r="D11" s="4" t="s">
        <v>9</v>
      </c>
      <c r="E11" s="6" t="s">
        <v>20</v>
      </c>
    </row>
    <row r="12" customFormat="false" ht="27.75" hidden="false" customHeight="true" outlineLevel="0" collapsed="false">
      <c r="A12" s="4" t="s">
        <v>21</v>
      </c>
      <c r="B12" s="5" t="n">
        <v>0.0058</v>
      </c>
      <c r="C12" s="4" t="s">
        <v>22</v>
      </c>
      <c r="D12" s="4" t="s">
        <v>23</v>
      </c>
      <c r="E12" s="6" t="s">
        <v>24</v>
      </c>
    </row>
    <row r="13" customFormat="false" ht="27.75" hidden="false" customHeight="true" outlineLevel="0" collapsed="false">
      <c r="A13" s="4" t="s">
        <v>25</v>
      </c>
      <c r="B13" s="7" t="n">
        <v>15</v>
      </c>
      <c r="C13" s="4" t="s">
        <v>26</v>
      </c>
      <c r="D13" s="4" t="s">
        <v>27</v>
      </c>
      <c r="E13" s="6" t="s">
        <v>28</v>
      </c>
    </row>
    <row r="14" customFormat="false" ht="27.75" hidden="false" customHeight="true" outlineLevel="0" collapsed="false">
      <c r="A14" s="4" t="s">
        <v>29</v>
      </c>
      <c r="B14" s="7" t="n">
        <v>130</v>
      </c>
      <c r="C14" s="4" t="s">
        <v>30</v>
      </c>
      <c r="D14" s="4" t="s">
        <v>27</v>
      </c>
      <c r="E14" s="6" t="s">
        <v>31</v>
      </c>
    </row>
    <row r="15" customFormat="false" ht="27.75" hidden="false" customHeight="true" outlineLevel="0" collapsed="false">
      <c r="A15" s="4" t="s">
        <v>32</v>
      </c>
      <c r="B15" s="5" t="n">
        <v>1.3</v>
      </c>
      <c r="C15" s="4" t="s">
        <v>33</v>
      </c>
      <c r="D15" s="4" t="s">
        <v>34</v>
      </c>
      <c r="E15" s="6" t="s">
        <v>35</v>
      </c>
    </row>
    <row r="16" customFormat="false" ht="27.75" hidden="false" customHeight="true" outlineLevel="0" collapsed="false">
      <c r="A16" s="4" t="s">
        <v>36</v>
      </c>
      <c r="B16" s="7" t="n">
        <v>2500</v>
      </c>
      <c r="C16" s="4" t="s">
        <v>37</v>
      </c>
      <c r="D16" s="4" t="s">
        <v>27</v>
      </c>
      <c r="E16" s="6" t="s">
        <v>38</v>
      </c>
    </row>
    <row r="17" customFormat="false" ht="27.75" hidden="false" customHeight="true" outlineLevel="0" collapsed="false">
      <c r="A17" s="4" t="s">
        <v>39</v>
      </c>
      <c r="B17" s="5" t="n">
        <v>32</v>
      </c>
      <c r="C17" s="4" t="s">
        <v>40</v>
      </c>
      <c r="D17" s="4" t="s">
        <v>34</v>
      </c>
      <c r="E17" s="6" t="s">
        <v>41</v>
      </c>
    </row>
    <row r="18" customFormat="false" ht="27.75" hidden="false" customHeight="true" outlineLevel="0" collapsed="false">
      <c r="A18" s="4" t="s">
        <v>42</v>
      </c>
      <c r="B18" s="5" t="n">
        <v>0.015</v>
      </c>
      <c r="C18" s="4" t="s">
        <v>43</v>
      </c>
      <c r="D18" s="4" t="s">
        <v>9</v>
      </c>
      <c r="E18" s="6" t="s">
        <v>44</v>
      </c>
    </row>
    <row r="19" customFormat="false" ht="27.75" hidden="false" customHeight="true" outlineLevel="0" collapsed="false">
      <c r="A19" s="4" t="s">
        <v>45</v>
      </c>
      <c r="B19" s="5" t="n">
        <v>0</v>
      </c>
      <c r="C19" s="4" t="s">
        <v>46</v>
      </c>
      <c r="D19" s="4" t="s">
        <v>9</v>
      </c>
      <c r="E19" s="6" t="s">
        <v>44</v>
      </c>
    </row>
    <row r="20" customFormat="false" ht="27.75" hidden="false" customHeight="true" outlineLevel="0" collapsed="false">
      <c r="A20" s="4" t="s">
        <v>47</v>
      </c>
      <c r="B20" s="5" t="n">
        <v>5</v>
      </c>
      <c r="C20" s="4" t="s">
        <v>48</v>
      </c>
      <c r="D20" s="8" t="s">
        <v>49</v>
      </c>
      <c r="E20" s="6" t="s">
        <v>50</v>
      </c>
    </row>
    <row r="21" customFormat="false" ht="27.75" hidden="false" customHeight="true" outlineLevel="0" collapsed="false">
      <c r="A21" s="4" t="s">
        <v>51</v>
      </c>
      <c r="B21" s="5" t="n">
        <v>25</v>
      </c>
      <c r="C21" s="4" t="s">
        <v>52</v>
      </c>
      <c r="D21" s="4" t="s">
        <v>9</v>
      </c>
      <c r="E21" s="6" t="s">
        <v>53</v>
      </c>
    </row>
    <row r="22" customFormat="false" ht="27.75" hidden="false" customHeight="true" outlineLevel="0" collapsed="false">
      <c r="A22" s="4" t="s">
        <v>54</v>
      </c>
      <c r="B22" s="5" t="n">
        <v>25</v>
      </c>
      <c r="C22" s="4" t="s">
        <v>52</v>
      </c>
      <c r="D22" s="4" t="s">
        <v>9</v>
      </c>
      <c r="E22" s="6" t="s">
        <v>55</v>
      </c>
    </row>
    <row r="23" customFormat="false" ht="27.75" hidden="false" customHeight="true" outlineLevel="0" collapsed="false">
      <c r="A23" s="4" t="s">
        <v>56</v>
      </c>
      <c r="B23" s="5" t="n">
        <v>20</v>
      </c>
      <c r="C23" s="4" t="s">
        <v>52</v>
      </c>
      <c r="D23" s="4" t="s">
        <v>9</v>
      </c>
      <c r="E23" s="6" t="s">
        <v>57</v>
      </c>
    </row>
    <row r="24" customFormat="false" ht="27.75" hidden="false" customHeight="true" outlineLevel="0" collapsed="false">
      <c r="A24" s="4" t="s">
        <v>58</v>
      </c>
      <c r="B24" s="5" t="n">
        <v>15</v>
      </c>
      <c r="C24" s="4" t="s">
        <v>52</v>
      </c>
      <c r="D24" s="4" t="s">
        <v>34</v>
      </c>
      <c r="E24" s="6" t="s">
        <v>59</v>
      </c>
    </row>
    <row r="25" customFormat="false" ht="27.75" hidden="false" customHeight="true" outlineLevel="0" collapsed="false">
      <c r="A25" s="4" t="s">
        <v>60</v>
      </c>
      <c r="B25" s="5" t="n">
        <v>18.5</v>
      </c>
      <c r="C25" s="4" t="s">
        <v>61</v>
      </c>
      <c r="D25" s="8" t="s">
        <v>62</v>
      </c>
      <c r="E25" s="6" t="s">
        <v>63</v>
      </c>
    </row>
    <row r="26" customFormat="false" ht="27.75" hidden="false" customHeight="true" outlineLevel="0" collapsed="false">
      <c r="A26" s="4" t="s">
        <v>64</v>
      </c>
      <c r="B26" s="5" t="n">
        <v>550</v>
      </c>
      <c r="C26" s="4" t="s">
        <v>65</v>
      </c>
      <c r="D26" s="4" t="s">
        <v>9</v>
      </c>
      <c r="E26" s="6" t="s">
        <v>66</v>
      </c>
    </row>
    <row r="27" customFormat="false" ht="27.75" hidden="false" customHeight="true" outlineLevel="0" collapsed="false">
      <c r="A27" s="4" t="s">
        <v>67</v>
      </c>
      <c r="B27" s="5" t="n">
        <v>2340</v>
      </c>
      <c r="C27" s="4" t="s">
        <v>65</v>
      </c>
      <c r="D27" s="4" t="s">
        <v>9</v>
      </c>
      <c r="E27" s="6" t="s">
        <v>66</v>
      </c>
    </row>
    <row r="28" customFormat="false" ht="27.75" hidden="false" customHeight="true" outlineLevel="0" collapsed="false">
      <c r="A28" s="4" t="s">
        <v>68</v>
      </c>
      <c r="B28" s="5" t="n">
        <v>39</v>
      </c>
      <c r="C28" s="4" t="s">
        <v>69</v>
      </c>
      <c r="D28" s="4" t="s">
        <v>9</v>
      </c>
      <c r="E28" s="6" t="s">
        <v>70</v>
      </c>
    </row>
    <row r="29" customFormat="false" ht="27.75" hidden="false" customHeight="true" outlineLevel="0" collapsed="false">
      <c r="A29" s="4" t="s">
        <v>71</v>
      </c>
      <c r="B29" s="5" t="n">
        <v>79</v>
      </c>
      <c r="C29" s="4" t="s">
        <v>69</v>
      </c>
      <c r="D29" s="4" t="s">
        <v>9</v>
      </c>
      <c r="E29" s="6" t="s">
        <v>70</v>
      </c>
    </row>
    <row r="30" customFormat="false" ht="27.75" hidden="false" customHeight="true" outlineLevel="0" collapsed="false">
      <c r="A30" s="4" t="s">
        <v>72</v>
      </c>
      <c r="B30" s="5" t="n">
        <v>0.16</v>
      </c>
      <c r="C30" s="4" t="s">
        <v>73</v>
      </c>
      <c r="D30" s="4" t="s">
        <v>74</v>
      </c>
      <c r="E30" s="6" t="s">
        <v>75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52"/>
  </cols>
  <sheetData>
    <row r="1" customFormat="false" ht="21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77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</row>
    <row r="5" customFormat="false" ht="60" hidden="false" customHeight="true" outlineLevel="0" collapsed="false">
      <c r="A5" s="4" t="s">
        <v>87</v>
      </c>
      <c r="B5" s="9" t="n">
        <f aca="false">Supuestos!$B$13</f>
        <v>15</v>
      </c>
      <c r="C5" s="10" t="s">
        <v>88</v>
      </c>
      <c r="D5" s="4" t="n">
        <f aca="false">B5*Supuestos!$B$14*Supuestos!$B$15</f>
        <v>2535</v>
      </c>
      <c r="E5" s="10" t="n">
        <f aca="false">D5/1000000*Supuestos!$B$5</f>
        <v>0.00316875</v>
      </c>
      <c r="F5" s="9" t="n">
        <f aca="false">Supuestos!$B$16</f>
        <v>2500</v>
      </c>
      <c r="G5" s="10" t="n">
        <f aca="false">F5/1000000*Supuestos!$B$6</f>
        <v>0.025</v>
      </c>
      <c r="H5" s="11" t="n">
        <f aca="false">C5+E5+G5</f>
        <v>0.02816875</v>
      </c>
      <c r="I5" s="6" t="s">
        <v>89</v>
      </c>
    </row>
    <row r="6" customFormat="false" ht="60" hidden="false" customHeight="true" outlineLevel="0" collapsed="false">
      <c r="A6" s="4" t="s">
        <v>90</v>
      </c>
      <c r="B6" s="9" t="n">
        <f aca="false">Supuestos!$B$13</f>
        <v>15</v>
      </c>
      <c r="C6" s="10" t="n">
        <f aca="false">(B6/60)*Supuestos!$B$11</f>
        <v>0.0375</v>
      </c>
      <c r="D6" s="4" t="n">
        <f aca="false">B6*Supuestos!$B$14*Supuestos!$B$15</f>
        <v>2535</v>
      </c>
      <c r="E6" s="10" t="n">
        <f aca="false">D6/1000000*Supuestos!$B$5</f>
        <v>0.00316875</v>
      </c>
      <c r="F6" s="9" t="n">
        <f aca="false">Supuestos!$B$16</f>
        <v>2500</v>
      </c>
      <c r="G6" s="10" t="n">
        <f aca="false">F6/1000000*Supuestos!$B$6</f>
        <v>0.025</v>
      </c>
      <c r="H6" s="11" t="n">
        <f aca="false">C6+E6+G6</f>
        <v>0.06566875</v>
      </c>
      <c r="I6" s="6" t="s">
        <v>91</v>
      </c>
    </row>
    <row r="7" customFormat="false" ht="60" hidden="false" customHeight="true" outlineLevel="0" collapsed="false">
      <c r="A7" s="4" t="s">
        <v>92</v>
      </c>
      <c r="B7" s="9" t="n">
        <f aca="false">Supuestos!$B$13</f>
        <v>15</v>
      </c>
      <c r="C7" s="10" t="s">
        <v>88</v>
      </c>
      <c r="D7" s="4" t="n">
        <f aca="false">B7*60*Supuestos!$B$10</f>
        <v>22500</v>
      </c>
      <c r="E7" s="10" t="n">
        <f aca="false">D7/1000000*Supuestos!$B$5</f>
        <v>0.028125</v>
      </c>
      <c r="F7" s="9" t="n">
        <f aca="false">Supuestos!$B$16</f>
        <v>2500</v>
      </c>
      <c r="G7" s="10" t="n">
        <f aca="false">F7/1000000*Supuestos!$B$6</f>
        <v>0.025</v>
      </c>
      <c r="H7" s="11" t="n">
        <f aca="false">C7+E7+G7</f>
        <v>0.053125</v>
      </c>
      <c r="I7" s="6" t="s">
        <v>93</v>
      </c>
    </row>
    <row r="9" customFormat="false" ht="15" hidden="false" customHeight="false" outlineLevel="0" collapsed="false">
      <c r="A9" s="2" t="s">
        <v>94</v>
      </c>
      <c r="B9" s="2"/>
      <c r="C9" s="2"/>
      <c r="D9" s="2"/>
      <c r="E9" s="2"/>
      <c r="F9" s="2"/>
      <c r="G9" s="2"/>
      <c r="H9" s="2"/>
      <c r="I9" s="2"/>
    </row>
  </sheetData>
  <mergeCells count="3">
    <mergeCell ref="A1:I1"/>
    <mergeCell ref="A2:I2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9" min="8" style="0" width="20"/>
  </cols>
  <sheetData>
    <row r="1" customFormat="false" ht="21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2" t="s">
        <v>96</v>
      </c>
      <c r="B2" s="12"/>
      <c r="C2" s="12"/>
      <c r="D2" s="12"/>
      <c r="E2" s="12"/>
      <c r="F2" s="13" t="n">
        <v>30</v>
      </c>
    </row>
    <row r="4" customFormat="false" ht="33.75" hidden="false" customHeight="true" outlineLevel="0" collapsed="false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105</v>
      </c>
    </row>
    <row r="5" customFormat="false" ht="15" hidden="false" customHeight="false" outlineLevel="0" collapsed="false">
      <c r="A5" s="14" t="s">
        <v>106</v>
      </c>
      <c r="B5" s="13" t="n">
        <v>20</v>
      </c>
      <c r="C5" s="15" t="n">
        <f aca="false">(Supuestos!$B$17*Supuestos!$B$13*60/8)/1024</f>
        <v>3.515625</v>
      </c>
      <c r="D5" s="16" t="n">
        <f aca="false">B5*C5/1024</f>
        <v>0.06866455078125</v>
      </c>
      <c r="E5" s="17" t="n">
        <f aca="false">D5*Supuestos!$B$18</f>
        <v>0.00102996826171875</v>
      </c>
      <c r="F5" s="18" t="n">
        <f aca="false">B5*CostoConsulta!$H$6</f>
        <v>1.313375</v>
      </c>
      <c r="G5" s="18" t="n">
        <f aca="false">Supuestos!$B$21+Supuestos!$B$22+Supuestos!$B$23+Supuestos!$B$24</f>
        <v>85</v>
      </c>
      <c r="H5" s="18" t="n">
        <f aca="false">G5/$F$2</f>
        <v>2.83333333333333</v>
      </c>
      <c r="I5" s="19" t="n">
        <f aca="false">E5+F5+H5</f>
        <v>4.14773830159505</v>
      </c>
    </row>
    <row r="6" customFormat="false" ht="15" hidden="false" customHeight="false" outlineLevel="0" collapsed="false">
      <c r="A6" s="14" t="s">
        <v>107</v>
      </c>
      <c r="B6" s="13" t="n">
        <v>80</v>
      </c>
      <c r="C6" s="15" t="n">
        <f aca="false">(Supuestos!$B$17*Supuestos!$B$13*60/8)/1024</f>
        <v>3.515625</v>
      </c>
      <c r="D6" s="16" t="n">
        <f aca="false">B6*C6/1024</f>
        <v>0.274658203125</v>
      </c>
      <c r="E6" s="17" t="n">
        <f aca="false">D6*Supuestos!$B$18</f>
        <v>0.004119873046875</v>
      </c>
      <c r="F6" s="18" t="n">
        <f aca="false">B6*CostoConsulta!$H$6</f>
        <v>5.2535</v>
      </c>
      <c r="G6" s="18" t="n">
        <f aca="false">Supuestos!$B$21+Supuestos!$B$22+Supuestos!$B$23+Supuestos!$B$24</f>
        <v>85</v>
      </c>
      <c r="H6" s="18" t="n">
        <f aca="false">G6/$F$2</f>
        <v>2.83333333333333</v>
      </c>
      <c r="I6" s="19" t="n">
        <f aca="false">E6+F6+H6</f>
        <v>8.09095320638021</v>
      </c>
    </row>
    <row r="7" customFormat="false" ht="15" hidden="false" customHeight="false" outlineLevel="0" collapsed="false">
      <c r="A7" s="14" t="s">
        <v>108</v>
      </c>
      <c r="B7" s="13" t="n">
        <v>200</v>
      </c>
      <c r="C7" s="15" t="n">
        <f aca="false">(Supuestos!$B$17*Supuestos!$B$13*60/8)/1024</f>
        <v>3.515625</v>
      </c>
      <c r="D7" s="16" t="n">
        <f aca="false">B7*C7/1024</f>
        <v>0.6866455078125</v>
      </c>
      <c r="E7" s="17" t="n">
        <f aca="false">D7*Supuestos!$B$18</f>
        <v>0.0102996826171875</v>
      </c>
      <c r="F7" s="18" t="n">
        <f aca="false">B7*CostoConsulta!$H$6</f>
        <v>13.13375</v>
      </c>
      <c r="G7" s="18" t="n">
        <f aca="false">Supuestos!$B$21+Supuestos!$B$22+Supuestos!$B$23+Supuestos!$B$24</f>
        <v>85</v>
      </c>
      <c r="H7" s="18" t="n">
        <f aca="false">G7/$F$2</f>
        <v>2.83333333333333</v>
      </c>
      <c r="I7" s="19" t="n">
        <f aca="false">E7+F7+H7</f>
        <v>15.9773830159505</v>
      </c>
    </row>
    <row r="9" customFormat="false" ht="15" hidden="false" customHeight="false" outlineLevel="0" collapsed="false">
      <c r="A9" s="2" t="s">
        <v>109</v>
      </c>
      <c r="B9" s="2"/>
      <c r="C9" s="2"/>
      <c r="D9" s="2"/>
      <c r="E9" s="2"/>
      <c r="F9" s="2"/>
      <c r="G9" s="2"/>
      <c r="H9" s="2"/>
      <c r="I9" s="2"/>
    </row>
  </sheetData>
  <mergeCells count="3">
    <mergeCell ref="A1:I1"/>
    <mergeCell ref="A2:E2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21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86</v>
      </c>
    </row>
    <row r="4" customFormat="false" ht="43.5" hidden="false" customHeight="true" outlineLevel="0" collapsed="false">
      <c r="A4" s="4" t="s">
        <v>118</v>
      </c>
      <c r="B4" s="20" t="n">
        <v>30</v>
      </c>
      <c r="C4" s="21" t="n">
        <f aca="false">B4*Supuestos!$B$25*(1+Supuestos!$B$30)</f>
        <v>643.8</v>
      </c>
      <c r="D4" s="4" t="s">
        <v>106</v>
      </c>
      <c r="E4" s="22" t="n">
        <f aca="false">CostoMedicoMes!$I$5</f>
        <v>4.14773830159505</v>
      </c>
      <c r="F4" s="23" t="n">
        <f aca="false">B4-E4</f>
        <v>25.852261698405</v>
      </c>
      <c r="G4" s="24" t="n">
        <f aca="false">F4/B4</f>
        <v>0.861742056613498</v>
      </c>
      <c r="H4" s="6" t="s">
        <v>119</v>
      </c>
    </row>
    <row r="5" customFormat="false" ht="43.5" hidden="false" customHeight="true" outlineLevel="0" collapsed="false">
      <c r="A5" s="4" t="s">
        <v>120</v>
      </c>
      <c r="B5" s="20" t="n">
        <v>45</v>
      </c>
      <c r="C5" s="21" t="n">
        <f aca="false">B5*Supuestos!$B$25*(1+Supuestos!$B$30)</f>
        <v>965.7</v>
      </c>
      <c r="D5" s="4" t="s">
        <v>107</v>
      </c>
      <c r="E5" s="22" t="n">
        <f aca="false">CostoMedicoMes!$I$6</f>
        <v>8.09095320638021</v>
      </c>
      <c r="F5" s="23" t="n">
        <f aca="false">B5-E5</f>
        <v>36.9090467936198</v>
      </c>
      <c r="G5" s="24" t="n">
        <f aca="false">F5/B5</f>
        <v>0.820201039858218</v>
      </c>
      <c r="H5" s="6" t="s">
        <v>121</v>
      </c>
    </row>
    <row r="6" customFormat="false" ht="43.5" hidden="false" customHeight="true" outlineLevel="0" collapsed="false">
      <c r="A6" s="4" t="s">
        <v>122</v>
      </c>
      <c r="B6" s="20" t="n">
        <v>75</v>
      </c>
      <c r="C6" s="21" t="n">
        <f aca="false">B6*Supuestos!$B$25*(1+Supuestos!$B$30)</f>
        <v>1609.5</v>
      </c>
      <c r="D6" s="4" t="s">
        <v>108</v>
      </c>
      <c r="E6" s="22" t="n">
        <f aca="false">CostoMedicoMes!$I$7</f>
        <v>15.9773830159505</v>
      </c>
      <c r="F6" s="23" t="n">
        <f aca="false">B6-E6</f>
        <v>59.0226169840495</v>
      </c>
      <c r="G6" s="24" t="n">
        <f aca="false">F6/B6</f>
        <v>0.786968226453993</v>
      </c>
      <c r="H6" s="6" t="s">
        <v>123</v>
      </c>
    </row>
    <row r="8" customFormat="false" ht="15" hidden="false" customHeight="false" outlineLevel="0" collapsed="false">
      <c r="A8" s="2" t="s">
        <v>124</v>
      </c>
      <c r="B8" s="2"/>
      <c r="C8" s="2"/>
      <c r="D8" s="2"/>
      <c r="E8" s="2"/>
      <c r="F8" s="2"/>
      <c r="G8" s="2"/>
      <c r="H8" s="2"/>
    </row>
  </sheetData>
  <mergeCells count="2">
    <mergeCell ref="A1:H1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21.75" hidden="false" customHeight="true" outlineLevel="0" collapsed="false">
      <c r="A1" s="1" t="s">
        <v>125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2" t="s">
        <v>126</v>
      </c>
      <c r="B2" s="12"/>
      <c r="C2" s="12"/>
      <c r="D2" s="12"/>
      <c r="E2" s="25" t="n">
        <v>0</v>
      </c>
      <c r="F2" s="26" t="s">
        <v>127</v>
      </c>
    </row>
    <row r="4" customFormat="false" ht="30" hidden="false" customHeight="true" outlineLevel="0" collapsed="false">
      <c r="A4" s="3" t="s">
        <v>111</v>
      </c>
      <c r="B4" s="3" t="s">
        <v>128</v>
      </c>
      <c r="C4" s="3" t="s">
        <v>129</v>
      </c>
      <c r="D4" s="3" t="s">
        <v>130</v>
      </c>
      <c r="E4" s="3" t="s">
        <v>131</v>
      </c>
      <c r="F4" s="3" t="s">
        <v>132</v>
      </c>
    </row>
    <row r="5" customFormat="false" ht="15" hidden="false" customHeight="false" outlineLevel="0" collapsed="false">
      <c r="A5" s="27" t="str">
        <f aca="false">PreciosMargen!A4</f>
        <v>Starter (individual)</v>
      </c>
      <c r="B5" s="28" t="n">
        <f aca="false">PreciosMargen!B4</f>
        <v>30</v>
      </c>
      <c r="C5" s="29" t="n">
        <f aca="false">PreciosMargen!E4</f>
        <v>4.14773830159505</v>
      </c>
      <c r="D5" s="18" t="n">
        <f aca="false">B5-C5</f>
        <v>25.852261698405</v>
      </c>
      <c r="E5" s="30" t="n">
        <f aca="false">(Supuestos!$B$21+Supuestos!$B$22+Supuestos!$B$23+Supuestos!$B$24)+$E$2</f>
        <v>85</v>
      </c>
      <c r="F5" s="14" t="n">
        <f aca="false">IF(D5&lt;=0,"n/a (margen negativo)",ROUNDUP(E5/D5,0))</f>
        <v>4</v>
      </c>
    </row>
    <row r="6" customFormat="false" ht="15" hidden="false" customHeight="false" outlineLevel="0" collapsed="false">
      <c r="A6" s="27" t="str">
        <f aca="false">PreciosMargen!A5</f>
        <v>Pro (individual, uso alto)</v>
      </c>
      <c r="B6" s="28" t="n">
        <f aca="false">PreciosMargen!B5</f>
        <v>45</v>
      </c>
      <c r="C6" s="29" t="n">
        <f aca="false">PreciosMargen!E5</f>
        <v>8.09095320638021</v>
      </c>
      <c r="D6" s="18" t="n">
        <f aca="false">B6-C6</f>
        <v>36.9090467936198</v>
      </c>
      <c r="E6" s="30" t="n">
        <f aca="false">(Supuestos!$B$21+Supuestos!$B$22+Supuestos!$B$23+Supuestos!$B$24)+$E$2</f>
        <v>85</v>
      </c>
      <c r="F6" s="14" t="n">
        <f aca="false">IF(D6&lt;=0,"n/a (margen negativo)",ROUNDUP(E6/D6,0))</f>
        <v>3</v>
      </c>
    </row>
    <row r="7" customFormat="false" ht="15" hidden="false" customHeight="false" outlineLevel="0" collapsed="false">
      <c r="A7" s="27" t="str">
        <f aca="false">PreciosMargen!A6</f>
        <v>Clínica (con asistente)</v>
      </c>
      <c r="B7" s="28" t="n">
        <f aca="false">PreciosMargen!B6</f>
        <v>75</v>
      </c>
      <c r="C7" s="29" t="n">
        <f aca="false">PreciosMargen!E6</f>
        <v>15.9773830159505</v>
      </c>
      <c r="D7" s="18" t="n">
        <f aca="false">B7-C7</f>
        <v>59.0226169840495</v>
      </c>
      <c r="E7" s="30" t="n">
        <f aca="false">(Supuestos!$B$21+Supuestos!$B$22+Supuestos!$B$23+Supuestos!$B$24)+$E$2</f>
        <v>85</v>
      </c>
      <c r="F7" s="14" t="n">
        <f aca="false">IF(D7&lt;=0,"n/a (margen negativo)",ROUNDUP(E7/D7,0))</f>
        <v>2</v>
      </c>
    </row>
    <row r="9" customFormat="false" ht="15" hidden="false" customHeight="false" outlineLevel="0" collapsed="false">
      <c r="A9" s="2" t="s">
        <v>133</v>
      </c>
      <c r="B9" s="2"/>
      <c r="C9" s="2"/>
      <c r="D9" s="2"/>
      <c r="E9" s="2"/>
      <c r="F9" s="2"/>
    </row>
  </sheetData>
  <mergeCells count="3">
    <mergeCell ref="A1:F1"/>
    <mergeCell ref="A2:D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1.75" hidden="false" customHeight="true" outlineLevel="0" collapsed="false">
      <c r="A1" s="1" t="s">
        <v>134</v>
      </c>
      <c r="B1" s="1"/>
      <c r="C1" s="1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135</v>
      </c>
    </row>
    <row r="4" customFormat="false" ht="30" hidden="false" customHeight="true" outlineLevel="0" collapsed="false">
      <c r="A4" s="4" t="s">
        <v>136</v>
      </c>
      <c r="B4" s="31" t="n">
        <f aca="false">PreciosMargen!B5</f>
        <v>45</v>
      </c>
      <c r="C4" s="6" t="s">
        <v>137</v>
      </c>
    </row>
    <row r="5" customFormat="false" ht="30" hidden="false" customHeight="true" outlineLevel="0" collapsed="false">
      <c r="A5" s="4" t="s">
        <v>117</v>
      </c>
      <c r="B5" s="32" t="n">
        <f aca="false">PreciosMargen!G5</f>
        <v>0.820201039858218</v>
      </c>
      <c r="C5" s="6" t="s">
        <v>138</v>
      </c>
    </row>
    <row r="6" customFormat="false" ht="30" hidden="false" customHeight="true" outlineLevel="0" collapsed="false">
      <c r="A6" s="4" t="s">
        <v>139</v>
      </c>
      <c r="B6" s="33" t="n">
        <v>0.04</v>
      </c>
      <c r="C6" s="6" t="s">
        <v>140</v>
      </c>
    </row>
    <row r="7" customFormat="false" ht="30" hidden="false" customHeight="true" outlineLevel="0" collapsed="false">
      <c r="A7" s="4" t="s">
        <v>141</v>
      </c>
      <c r="B7" s="34" t="n">
        <f aca="false">1/B6</f>
        <v>25</v>
      </c>
      <c r="C7" s="6" t="s">
        <v>142</v>
      </c>
    </row>
    <row r="8" customFormat="false" ht="30" hidden="false" customHeight="true" outlineLevel="0" collapsed="false">
      <c r="A8" s="4" t="s">
        <v>143</v>
      </c>
      <c r="B8" s="23" t="n">
        <f aca="false">B4*B5/B6</f>
        <v>922.726169840495</v>
      </c>
      <c r="C8" s="6" t="s">
        <v>144</v>
      </c>
    </row>
    <row r="9" customFormat="false" ht="30" hidden="false" customHeight="true" outlineLevel="0" collapsed="false">
      <c r="A9" s="4" t="s">
        <v>145</v>
      </c>
      <c r="B9" s="20" t="n">
        <v>40</v>
      </c>
      <c r="C9" s="6" t="s">
        <v>146</v>
      </c>
    </row>
    <row r="10" customFormat="false" ht="30" hidden="false" customHeight="true" outlineLevel="0" collapsed="false">
      <c r="A10" s="4" t="s">
        <v>147</v>
      </c>
      <c r="B10" s="35" t="n">
        <f aca="false">B8/B9</f>
        <v>23.0681542460124</v>
      </c>
      <c r="C10" s="6" t="s">
        <v>148</v>
      </c>
    </row>
    <row r="11" customFormat="false" ht="30" hidden="false" customHeight="true" outlineLevel="0" collapsed="false">
      <c r="A11" s="4" t="s">
        <v>149</v>
      </c>
      <c r="B11" s="34" t="n">
        <f aca="false">B9/(B4*B5)</f>
        <v>1.08374513770739</v>
      </c>
      <c r="C11" s="6" t="s">
        <v>150</v>
      </c>
    </row>
    <row r="13" customFormat="false" ht="15" hidden="false" customHeight="false" outlineLevel="0" collapsed="false">
      <c r="A13" s="2" t="s">
        <v>151</v>
      </c>
      <c r="B13" s="2"/>
      <c r="C13" s="2"/>
    </row>
  </sheetData>
  <mergeCells count="2">
    <mergeCell ref="A1:C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1" t="s">
        <v>152</v>
      </c>
      <c r="B1" s="1"/>
      <c r="C1" s="1"/>
      <c r="D1" s="1"/>
    </row>
    <row r="2" customFormat="false" ht="60" hidden="false" customHeight="true" outlineLevel="0" collapsed="false">
      <c r="A2" s="36" t="s">
        <v>153</v>
      </c>
      <c r="B2" s="36"/>
      <c r="C2" s="36"/>
      <c r="D2" s="36"/>
    </row>
    <row r="3" customFormat="false" ht="15" hidden="false" customHeight="false" outlineLevel="0" collapsed="false">
      <c r="A3" s="36"/>
      <c r="B3" s="36"/>
      <c r="C3" s="36"/>
      <c r="D3" s="36"/>
    </row>
    <row r="5" customFormat="false" ht="15" hidden="false" customHeight="false" outlineLevel="0" collapsed="false">
      <c r="A5" s="3" t="s">
        <v>154</v>
      </c>
      <c r="B5" s="3" t="s">
        <v>3</v>
      </c>
      <c r="C5" s="3" t="s">
        <v>4</v>
      </c>
      <c r="D5" s="3" t="s">
        <v>86</v>
      </c>
    </row>
    <row r="6" customFormat="false" ht="30" hidden="false" customHeight="true" outlineLevel="0" collapsed="false">
      <c r="A6" s="4" t="s">
        <v>155</v>
      </c>
      <c r="B6" s="7" t="n">
        <v>2.4</v>
      </c>
      <c r="C6" s="4" t="s">
        <v>156</v>
      </c>
      <c r="D6" s="8" t="s">
        <v>157</v>
      </c>
    </row>
    <row r="7" customFormat="false" ht="30" hidden="false" customHeight="true" outlineLevel="0" collapsed="false">
      <c r="A7" s="4" t="s">
        <v>158</v>
      </c>
      <c r="B7" s="7" t="n">
        <v>130</v>
      </c>
      <c r="C7" s="4" t="s">
        <v>159</v>
      </c>
      <c r="D7" s="8" t="s">
        <v>160</v>
      </c>
    </row>
    <row r="8" customFormat="false" ht="30" hidden="false" customHeight="true" outlineLevel="0" collapsed="false">
      <c r="A8" s="4" t="s">
        <v>161</v>
      </c>
      <c r="B8" s="37" t="n">
        <f aca="false">B6*B7*1000</f>
        <v>312000</v>
      </c>
      <c r="C8" s="4" t="s">
        <v>162</v>
      </c>
      <c r="D8" s="6" t="s">
        <v>163</v>
      </c>
    </row>
    <row r="9" customFormat="false" ht="31.5" hidden="false" customHeight="true" outlineLevel="0" collapsed="false">
      <c r="A9" s="4" t="s">
        <v>164</v>
      </c>
      <c r="B9" s="33" t="n">
        <v>0.5</v>
      </c>
      <c r="C9" s="4" t="s">
        <v>73</v>
      </c>
      <c r="D9" s="8" t="s">
        <v>165</v>
      </c>
    </row>
    <row r="10" customFormat="false" ht="31.5" hidden="false" customHeight="true" outlineLevel="0" collapsed="false">
      <c r="A10" s="4" t="s">
        <v>166</v>
      </c>
      <c r="B10" s="37" t="n">
        <f aca="false">B8*B9</f>
        <v>156000</v>
      </c>
      <c r="C10" s="4" t="s">
        <v>162</v>
      </c>
      <c r="D10" s="6" t="s">
        <v>167</v>
      </c>
    </row>
    <row r="11" customFormat="false" ht="31.5" hidden="false" customHeight="true" outlineLevel="0" collapsed="false">
      <c r="A11" s="4" t="s">
        <v>168</v>
      </c>
      <c r="B11" s="33" t="n">
        <v>0.55</v>
      </c>
      <c r="C11" s="4" t="s">
        <v>73</v>
      </c>
      <c r="D11" s="6" t="s">
        <v>169</v>
      </c>
    </row>
    <row r="12" customFormat="false" ht="31.5" hidden="false" customHeight="true" outlineLevel="0" collapsed="false">
      <c r="A12" s="4" t="s">
        <v>170</v>
      </c>
      <c r="B12" s="37" t="n">
        <f aca="false">B10*B11</f>
        <v>85800</v>
      </c>
      <c r="C12" s="4" t="s">
        <v>162</v>
      </c>
      <c r="D12" s="6" t="s">
        <v>171</v>
      </c>
    </row>
    <row r="13" customFormat="false" ht="31.5" hidden="false" customHeight="true" outlineLevel="0" collapsed="false">
      <c r="A13" s="4" t="s">
        <v>172</v>
      </c>
      <c r="B13" s="33" t="n">
        <v>0.01</v>
      </c>
      <c r="C13" s="4" t="s">
        <v>73</v>
      </c>
      <c r="D13" s="6" t="s">
        <v>173</v>
      </c>
    </row>
    <row r="14" customFormat="false" ht="31.5" hidden="false" customHeight="true" outlineLevel="0" collapsed="false">
      <c r="A14" s="4" t="s">
        <v>174</v>
      </c>
      <c r="B14" s="37" t="n">
        <f aca="false">B12*B13</f>
        <v>858</v>
      </c>
      <c r="C14" s="4" t="s">
        <v>162</v>
      </c>
      <c r="D14" s="6" t="s">
        <v>175</v>
      </c>
    </row>
    <row r="15" customFormat="false" ht="31.5" hidden="false" customHeight="true" outlineLevel="0" collapsed="false">
      <c r="A15" s="4" t="s">
        <v>176</v>
      </c>
      <c r="B15" s="38" t="n">
        <f aca="false">B14*PreciosMargen!B5*12</f>
        <v>463320</v>
      </c>
      <c r="C15" s="4" t="s">
        <v>177</v>
      </c>
      <c r="D15" s="6" t="s">
        <v>178</v>
      </c>
    </row>
    <row r="17" customFormat="false" ht="15" hidden="false" customHeight="false" outlineLevel="0" collapsed="false">
      <c r="A17" s="2" t="s">
        <v>179</v>
      </c>
      <c r="B17" s="2"/>
      <c r="C17" s="2"/>
      <c r="D17" s="2"/>
    </row>
  </sheetData>
  <mergeCells count="3">
    <mergeCell ref="A1:D1"/>
    <mergeCell ref="A2:D3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44"/>
  </cols>
  <sheetData>
    <row r="1" customFormat="false" ht="21.75" hidden="false" customHeight="true" outlineLevel="0" collapsed="false">
      <c r="A1" s="1" t="s">
        <v>180</v>
      </c>
      <c r="B1" s="1"/>
      <c r="C1" s="1"/>
      <c r="D1" s="1"/>
    </row>
    <row r="3" customFormat="false" ht="15" hidden="false" customHeight="false" outlineLevel="0" collapsed="false">
      <c r="A3" s="3" t="s">
        <v>181</v>
      </c>
      <c r="B3" s="3" t="s">
        <v>6</v>
      </c>
      <c r="C3" s="3" t="s">
        <v>182</v>
      </c>
      <c r="D3" s="3" t="s">
        <v>183</v>
      </c>
    </row>
    <row r="4" customFormat="false" ht="30" hidden="false" customHeight="true" outlineLevel="0" collapsed="false">
      <c r="A4" s="4" t="s">
        <v>184</v>
      </c>
      <c r="B4" s="4" t="s">
        <v>185</v>
      </c>
      <c r="C4" s="39" t="s">
        <v>186</v>
      </c>
      <c r="D4" s="4" t="s">
        <v>187</v>
      </c>
    </row>
    <row r="5" customFormat="false" ht="30" hidden="false" customHeight="true" outlineLevel="0" collapsed="false">
      <c r="A5" s="4" t="s">
        <v>184</v>
      </c>
      <c r="B5" s="4" t="s">
        <v>188</v>
      </c>
      <c r="C5" s="39" t="s">
        <v>189</v>
      </c>
      <c r="D5" s="4" t="s">
        <v>190</v>
      </c>
    </row>
    <row r="6" customFormat="false" ht="30" hidden="false" customHeight="true" outlineLevel="0" collapsed="false">
      <c r="A6" s="4" t="s">
        <v>184</v>
      </c>
      <c r="B6" s="4" t="s">
        <v>191</v>
      </c>
      <c r="C6" s="39" t="s">
        <v>192</v>
      </c>
      <c r="D6" s="4" t="s">
        <v>193</v>
      </c>
    </row>
    <row r="7" customFormat="false" ht="30" hidden="false" customHeight="true" outlineLevel="0" collapsed="false">
      <c r="A7" s="4" t="s">
        <v>184</v>
      </c>
      <c r="B7" s="4" t="s">
        <v>194</v>
      </c>
      <c r="C7" s="39" t="s">
        <v>195</v>
      </c>
      <c r="D7" s="4" t="s">
        <v>196</v>
      </c>
    </row>
    <row r="8" customFormat="false" ht="30" hidden="false" customHeight="true" outlineLevel="0" collapsed="false">
      <c r="A8" s="4" t="s">
        <v>184</v>
      </c>
      <c r="B8" s="4" t="s">
        <v>197</v>
      </c>
      <c r="C8" s="39" t="s">
        <v>198</v>
      </c>
      <c r="D8" s="4" t="s">
        <v>199</v>
      </c>
    </row>
    <row r="9" customFormat="false" ht="30" hidden="false" customHeight="true" outlineLevel="0" collapsed="false">
      <c r="A9" s="4" t="s">
        <v>184</v>
      </c>
      <c r="B9" s="4" t="s">
        <v>200</v>
      </c>
      <c r="C9" s="39" t="s">
        <v>201</v>
      </c>
      <c r="D9" s="4" t="s">
        <v>202</v>
      </c>
    </row>
    <row r="10" customFormat="false" ht="30" hidden="false" customHeight="true" outlineLevel="0" collapsed="false">
      <c r="A10" s="4" t="s">
        <v>184</v>
      </c>
      <c r="B10" s="4" t="s">
        <v>203</v>
      </c>
      <c r="C10" s="39" t="s">
        <v>204</v>
      </c>
      <c r="D10" s="4" t="s">
        <v>205</v>
      </c>
    </row>
    <row r="11" customFormat="false" ht="30" hidden="false" customHeight="true" outlineLevel="0" collapsed="false">
      <c r="A11" s="4" t="s">
        <v>184</v>
      </c>
      <c r="B11" s="4" t="s">
        <v>206</v>
      </c>
      <c r="C11" s="39" t="s">
        <v>207</v>
      </c>
      <c r="D11" s="4" t="s">
        <v>208</v>
      </c>
    </row>
    <row r="12" customFormat="false" ht="30" hidden="false" customHeight="true" outlineLevel="0" collapsed="false">
      <c r="A12" s="4" t="s">
        <v>184</v>
      </c>
      <c r="B12" s="4" t="s">
        <v>209</v>
      </c>
      <c r="C12" s="39" t="s">
        <v>210</v>
      </c>
      <c r="D12" s="4" t="s">
        <v>211</v>
      </c>
    </row>
    <row r="13" customFormat="false" ht="30" hidden="false" customHeight="true" outlineLevel="0" collapsed="false">
      <c r="A13" s="4" t="s">
        <v>184</v>
      </c>
      <c r="B13" s="4" t="s">
        <v>212</v>
      </c>
      <c r="C13" s="39" t="s">
        <v>213</v>
      </c>
      <c r="D13" s="4" t="s">
        <v>214</v>
      </c>
    </row>
    <row r="14" customFormat="false" ht="30" hidden="false" customHeight="true" outlineLevel="0" collapsed="false">
      <c r="A14" s="4" t="s">
        <v>184</v>
      </c>
      <c r="B14" s="4" t="s">
        <v>215</v>
      </c>
      <c r="C14" s="39" t="s">
        <v>216</v>
      </c>
      <c r="D14" s="4" t="s">
        <v>217</v>
      </c>
    </row>
    <row r="16" customFormat="false" ht="39.75" hidden="false" customHeight="true" outlineLevel="0" collapsed="false">
      <c r="A16" s="40" t="s">
        <v>218</v>
      </c>
      <c r="B16" s="40"/>
      <c r="C16" s="40"/>
      <c r="D16" s="40"/>
    </row>
    <row r="17" customFormat="false" ht="39.75" hidden="false" customHeight="true" outlineLevel="0" collapsed="false">
      <c r="A17" s="40" t="s">
        <v>219</v>
      </c>
      <c r="B17" s="40"/>
      <c r="C17" s="40"/>
      <c r="D17" s="40"/>
    </row>
  </sheetData>
  <mergeCells count="3">
    <mergeCell ref="A1:D1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2026-08-20T20:48:23Z</dcterms:created>
  <dc:creator>openpyxl</dc:creator>
  <dc:description/>
  <dc:language>en-US</dc:language>
  <cp:lastModifiedBy/>
  <dcterms:modified xsi:type="dcterms:W3CDTF">2026-08-20T20:48:23Z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